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255"/>
  </bookViews>
  <sheets>
    <sheet name="晒架-23-26产品复盘" sheetId="2" r:id="rId1"/>
  </sheets>
  <definedNames>
    <definedName name="_xlnm._FilterDatabase" localSheetId="0" hidden="1">'晒架-23-26产品复盘'!$A$2:$H$17</definedName>
  </definedNames>
  <calcPr calcId="144525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" name="ID_C850960750D442118413493C0113A27A"/>
        <xdr:cNvPicPr/>
      </xdr:nvPicPr>
      <xdr:blipFill>
        <a:blip r:embed="rId1"/>
      </xdr:blipFill>
      <xdr:spPr>
        <a:xfrm>
          <a:off x="9525" y="3600450"/>
          <a:ext cx="1794510" cy="3038475"/>
        </a:xfrm>
        <a:prstGeom prst="rect">
          <a:avLst/>
        </a:prstGeom>
      </xdr:spPr>
    </xdr:pic>
  </etc:cellImage>
  <etc:cellImage>
    <xdr:pic>
      <xdr:nvPicPr>
        <xdr:cNvPr id="8" name="ID_9A3F892EE95E431FB5AE455DF2DA6BE0"/>
        <xdr:cNvPicPr/>
      </xdr:nvPicPr>
      <xdr:blipFill>
        <a:blip r:embed="rId2"/>
      </xdr:blipFill>
      <xdr:spPr>
        <a:xfrm>
          <a:off x="9525" y="7410450"/>
          <a:ext cx="2993390" cy="2962275"/>
        </a:xfrm>
        <a:prstGeom prst="rect">
          <a:avLst/>
        </a:prstGeom>
      </xdr:spPr>
    </xdr:pic>
  </etc:cellImage>
  <etc:cellImage>
    <xdr:pic>
      <xdr:nvPicPr>
        <xdr:cNvPr id="9" name="ID_3953E4ACA7CF4BD6828AC999929F16CE"/>
        <xdr:cNvPicPr/>
      </xdr:nvPicPr>
      <xdr:blipFill>
        <a:blip r:embed="rId3"/>
      </xdr:blipFill>
      <xdr:spPr>
        <a:xfrm>
          <a:off x="9525" y="8680450"/>
          <a:ext cx="2926715" cy="2444750"/>
        </a:xfrm>
        <a:prstGeom prst="rect">
          <a:avLst/>
        </a:prstGeom>
      </xdr:spPr>
    </xdr:pic>
  </etc:cellImage>
  <etc:cellImage>
    <xdr:pic>
      <xdr:nvPicPr>
        <xdr:cNvPr id="10" name="ID_CD8FBE72FA724C45B498EA68F761C9BD"/>
        <xdr:cNvPicPr/>
      </xdr:nvPicPr>
      <xdr:blipFill>
        <a:blip r:embed="rId4"/>
      </xdr:blipFill>
      <xdr:spPr>
        <a:xfrm>
          <a:off x="9525" y="9950450"/>
          <a:ext cx="2945765" cy="2619375"/>
        </a:xfrm>
        <a:prstGeom prst="rect">
          <a:avLst/>
        </a:prstGeom>
      </xdr:spPr>
    </xdr:pic>
  </etc:cellImage>
  <etc:cellImage>
    <xdr:pic>
      <xdr:nvPicPr>
        <xdr:cNvPr id="12" name="ID_1BE52D85CCEB4DEA931166DC422D3F71"/>
        <xdr:cNvPicPr/>
      </xdr:nvPicPr>
      <xdr:blipFill>
        <a:blip r:embed="rId5"/>
      </xdr:blipFill>
      <xdr:spPr>
        <a:xfrm>
          <a:off x="9525" y="12490450"/>
          <a:ext cx="2898140" cy="2454275"/>
        </a:xfrm>
        <a:prstGeom prst="rect">
          <a:avLst/>
        </a:prstGeom>
      </xdr:spPr>
    </xdr:pic>
  </etc:cellImage>
  <etc:cellImage>
    <xdr:pic>
      <xdr:nvPicPr>
        <xdr:cNvPr id="13" name="ID_BF7C7AC3C1A3436B95CB807FA9ACFC85"/>
        <xdr:cNvPicPr/>
      </xdr:nvPicPr>
      <xdr:blipFill>
        <a:blip r:embed="rId6"/>
      </xdr:blipFill>
      <xdr:spPr>
        <a:xfrm>
          <a:off x="9525" y="13760450"/>
          <a:ext cx="3098165" cy="2886075"/>
        </a:xfrm>
        <a:prstGeom prst="rect">
          <a:avLst/>
        </a:prstGeom>
      </xdr:spPr>
    </xdr:pic>
  </etc:cellImage>
  <etc:cellImage>
    <xdr:pic>
      <xdr:nvPicPr>
        <xdr:cNvPr id="15" name="ID_75385C290B5645F7B1E24EC10E81F8F5"/>
        <xdr:cNvPicPr/>
      </xdr:nvPicPr>
      <xdr:blipFill>
        <a:blip r:embed="rId7"/>
      </xdr:blipFill>
      <xdr:spPr>
        <a:xfrm>
          <a:off x="9525" y="16300450"/>
          <a:ext cx="3031490" cy="2667000"/>
        </a:xfrm>
        <a:prstGeom prst="rect">
          <a:avLst/>
        </a:prstGeom>
      </xdr:spPr>
    </xdr:pic>
  </etc:cellImage>
  <etc:cellImage>
    <xdr:pic>
      <xdr:nvPicPr>
        <xdr:cNvPr id="18" name="ID_325DDEE589A9437B9A403AB2B37625E1"/>
        <xdr:cNvPicPr/>
      </xdr:nvPicPr>
      <xdr:blipFill>
        <a:blip r:embed="rId8"/>
      </xdr:blipFill>
      <xdr:spPr>
        <a:xfrm>
          <a:off x="9525" y="20110450"/>
          <a:ext cx="3021965" cy="2857500"/>
        </a:xfrm>
        <a:prstGeom prst="rect">
          <a:avLst/>
        </a:prstGeom>
      </xdr:spPr>
    </xdr:pic>
  </etc:cellImage>
  <etc:cellImage>
    <xdr:pic>
      <xdr:nvPicPr>
        <xdr:cNvPr id="20" name="ID_2EA2046350654415BA6F23D72E1A0738"/>
        <xdr:cNvPicPr/>
      </xdr:nvPicPr>
      <xdr:blipFill>
        <a:blip r:embed="rId9"/>
      </xdr:blipFill>
      <xdr:spPr>
        <a:xfrm>
          <a:off x="9525" y="22650450"/>
          <a:ext cx="2964815" cy="2828925"/>
        </a:xfrm>
        <a:prstGeom prst="rect">
          <a:avLst/>
        </a:prstGeom>
      </xdr:spPr>
    </xdr:pic>
  </etc:cellImage>
  <etc:cellImage>
    <xdr:pic>
      <xdr:nvPicPr>
        <xdr:cNvPr id="25" name="ID_3AD10816C7E145E8A97B125D8897C2F0"/>
        <xdr:cNvPicPr/>
      </xdr:nvPicPr>
      <xdr:blipFill>
        <a:blip r:embed="rId10"/>
      </xdr:blipFill>
      <xdr:spPr>
        <a:xfrm>
          <a:off x="9525" y="27730450"/>
          <a:ext cx="3021965" cy="2933700"/>
        </a:xfrm>
        <a:prstGeom prst="rect">
          <a:avLst/>
        </a:prstGeom>
      </xdr:spPr>
    </xdr:pic>
  </etc:cellImage>
  <etc:cellImage>
    <xdr:pic>
      <xdr:nvPicPr>
        <xdr:cNvPr id="26" name="ID_5FB9CEE11EB3467D901154F98448CA62"/>
        <xdr:cNvPicPr/>
      </xdr:nvPicPr>
      <xdr:blipFill>
        <a:blip r:embed="rId11"/>
      </xdr:blipFill>
      <xdr:spPr>
        <a:xfrm>
          <a:off x="9525" y="29000450"/>
          <a:ext cx="3060065" cy="2971800"/>
        </a:xfrm>
        <a:prstGeom prst="rect">
          <a:avLst/>
        </a:prstGeom>
      </xdr:spPr>
    </xdr:pic>
  </etc:cellImage>
  <etc:cellImage>
    <xdr:pic>
      <xdr:nvPicPr>
        <xdr:cNvPr id="27" name="ID_D6105F87FB9243E4BD49195C270BF006"/>
        <xdr:cNvPicPr/>
      </xdr:nvPicPr>
      <xdr:blipFill>
        <a:blip r:embed="rId12"/>
      </xdr:blipFill>
      <xdr:spPr>
        <a:xfrm>
          <a:off x="9525" y="30270450"/>
          <a:ext cx="3031490" cy="2733675"/>
        </a:xfrm>
        <a:prstGeom prst="rect">
          <a:avLst/>
        </a:prstGeom>
      </xdr:spPr>
    </xdr:pic>
  </etc:cellImage>
  <etc:cellImage>
    <xdr:pic>
      <xdr:nvPicPr>
        <xdr:cNvPr id="28" name="ID_561DDED64ACE46DF8312DC807BF9CC6B"/>
        <xdr:cNvPicPr/>
      </xdr:nvPicPr>
      <xdr:blipFill>
        <a:blip r:embed="rId13"/>
      </xdr:blipFill>
      <xdr:spPr>
        <a:xfrm>
          <a:off x="9525" y="31540450"/>
          <a:ext cx="2993390" cy="2962275"/>
        </a:xfrm>
        <a:prstGeom prst="rect">
          <a:avLst/>
        </a:prstGeom>
      </xdr:spPr>
    </xdr:pic>
  </etc:cellImage>
  <etc:cellImage>
    <xdr:pic>
      <xdr:nvPicPr>
        <xdr:cNvPr id="29" name="ID_E309B652756449CDA55ABE5A798F2B08"/>
        <xdr:cNvPicPr/>
      </xdr:nvPicPr>
      <xdr:blipFill>
        <a:blip r:embed="rId14"/>
      </xdr:blipFill>
      <xdr:spPr>
        <a:xfrm>
          <a:off x="9525" y="32810450"/>
          <a:ext cx="4625340" cy="4327525"/>
        </a:xfrm>
        <a:prstGeom prst="rect">
          <a:avLst/>
        </a:prstGeom>
      </xdr:spPr>
    </xdr:pic>
  </etc:cellImage>
  <etc:cellImage>
    <xdr:pic>
      <xdr:nvPicPr>
        <xdr:cNvPr id="38" name="ID_975C6D3F28344B3F90D8426C0B71F6CB"/>
        <xdr:cNvPicPr/>
      </xdr:nvPicPr>
      <xdr:blipFill>
        <a:blip r:embed="rId15"/>
      </xdr:blipFill>
      <xdr:spPr>
        <a:xfrm>
          <a:off x="9525" y="26751915"/>
          <a:ext cx="1988185" cy="298259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<sst xmlns="http://schemas.openxmlformats.org/spreadsheetml/2006/main" count="63" uniqueCount="19">
  <si>
    <t>主图</t>
  </si>
  <si>
    <t>品名</t>
  </si>
  <si>
    <t>产品父SKU</t>
  </si>
  <si>
    <t>上架年份</t>
  </si>
  <si>
    <t>上架月份</t>
  </si>
  <si>
    <t>2023销量</t>
  </si>
  <si>
    <t>2024销量</t>
  </si>
  <si>
    <t>2025销量</t>
  </si>
  <si>
    <t>2026年上半年销量</t>
  </si>
  <si>
    <t>售价（欧元）</t>
  </si>
  <si>
    <t>晒架</t>
  </si>
  <si>
    <t>151501C</t>
  </si>
  <si>
    <t>/</t>
  </si>
  <si>
    <t>153806E</t>
  </si>
  <si>
    <t>159301A</t>
  </si>
  <si>
    <t>156401E</t>
  </si>
  <si>
    <t>124401F</t>
  </si>
  <si>
    <t>161001B</t>
  </si>
  <si>
    <t>126401F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</si>
</sst>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4"/>
      <color theme="1"/>
      <name val="微软雅黑"/>
      <charset val="134"/>
    </font>
    <font>
      <b/>
      <sz val="14"/>
      <color theme="1"/>
      <name val="微软雅黑"/>
      <charset val="134"/>
    </font>
    <font>
      <b/>
      <sz val="14"/>
      <color rgb="FF1D41D5"/>
      <name val="微软雅黑"/>
      <charset val="134"/>
    </font>
    <font>
      <b/>
      <sz val="14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4" borderId="5">
      <alignment vertical="center"/>
    </xf>
    <xf numFmtId="0" fontId="14" fillId="5" borderId="6">
      <alignment vertical="center"/>
    </xf>
    <xf numFmtId="0" fontId="15" fillId="5" borderId="5">
      <alignment vertical="center"/>
    </xf>
    <xf numFmtId="0" fontId="16" fillId="6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1D41D5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48"/>
  <sheetViews>
    <sheetView tabSelected="1" zoomScale="85" zoomScaleNormal="85" workbookViewId="0">
      <pane xSplit="3" ySplit="2" topLeftCell="D3" activePane="bottomRight" state="frozen"/>
      <selection/>
      <selection pane="topRight"/>
      <selection pane="bottomLeft"/>
      <selection pane="bottomRight" activeCell="P5" sqref="P5"/>
    </sheetView>
  </sheetViews>
  <sheetFormatPr defaultColWidth="9" defaultRowHeight="20.25"/>
  <cols>
    <col min="1" max="1" width="22.175" style="3" customWidth="1"/>
    <col min="2" max="2" width="12.7333333333333" style="3" customWidth="1"/>
    <col min="3" max="3" width="19.9166666666667" style="3" customWidth="1"/>
    <col min="4" max="6" width="15.1416666666667" style="3" customWidth="1"/>
    <col min="7" max="8" width="15.1416666666667" style="4" customWidth="1"/>
    <col min="9" max="9" width="23.5333333333333" style="3" customWidth="1"/>
    <col min="10" max="10" width="23.9666666666667" style="3" customWidth="1"/>
    <col min="11" max="16384" width="9" style="3"/>
  </cols>
  <sheetData>
    <row r="1" s="1" customFormat="1" ht="23" customHeight="1" spans="1:8">
      <c r="A1" s="5"/>
      <c r="B1" s="3"/>
      <c r="C1" s="3"/>
      <c r="D1" s="6"/>
      <c r="E1" s="6"/>
      <c r="F1" s="6"/>
      <c r="G1" s="7"/>
      <c r="H1" s="7"/>
    </row>
    <row r="2" s="2" customFormat="1" ht="60" customHeight="1" spans="1:10">
      <c r="A2" s="2" t="s">
        <v>0</v>
      </c>
      <c r="B2" s="8" t="s">
        <v>1</v>
      </c>
      <c r="C2" s="9" t="s">
        <v>2</v>
      </c>
      <c r="D2" s="10" t="s">
        <v>3</v>
      </c>
      <c r="E2" s="10" t="s">
        <v>4</v>
      </c>
      <c r="F2" s="11" t="s">
        <v>5</v>
      </c>
      <c r="G2" s="11" t="s">
        <v>6</v>
      </c>
      <c r="H2" s="11" t="s">
        <v>7</v>
      </c>
      <c r="I2" s="14" t="s">
        <v>8</v>
      </c>
      <c r="J2" s="2" t="s">
        <v>9</v>
      </c>
    </row>
    <row r="3" ht="100" customHeight="1" spans="1:10">
      <c r="A3" s="3" t="str">
        <f>_xlfn.DISPIMG("ID_325DDEE589A9437B9A403AB2B37625E1",1)</f>
        <v>=DISPIMG("ID_325DDEE589A9437B9A403AB2B37625E1",1)</v>
      </c>
      <c r="B3" s="12" t="s">
        <v>10</v>
      </c>
      <c r="C3" s="12" t="s">
        <v>11</v>
      </c>
      <c r="D3" s="3">
        <v>2023</v>
      </c>
      <c r="E3" s="3">
        <v>12</v>
      </c>
      <c r="F3" s="13">
        <v>27</v>
      </c>
      <c r="G3" s="13">
        <v>1953</v>
      </c>
      <c r="H3" s="13">
        <v>5958</v>
      </c>
      <c r="I3" s="13">
        <v>39</v>
      </c>
      <c r="J3" s="3">
        <v>55.99</v>
      </c>
    </row>
    <row r="4" ht="100" customHeight="1" spans="1:10">
      <c r="A4" s="3" t="str">
        <f>_xlfn.DISPIMG("ID_9A3F892EE95E431FB5AE455DF2DA6BE0",1)</f>
        <v>=DISPIMG("ID_9A3F892EE95E431FB5AE455DF2DA6BE0",1)</v>
      </c>
      <c r="B4" s="12" t="s">
        <v>10</v>
      </c>
      <c r="C4" s="12">
        <v>153501</v>
      </c>
      <c r="D4" s="3">
        <v>2024</v>
      </c>
      <c r="E4" s="3">
        <v>5</v>
      </c>
      <c r="F4" s="13" t="s">
        <v>12</v>
      </c>
      <c r="G4" s="13">
        <v>1550</v>
      </c>
      <c r="H4" s="13">
        <v>6455</v>
      </c>
      <c r="I4" s="13">
        <v>6094</v>
      </c>
      <c r="J4" s="3">
        <v>36.99</v>
      </c>
    </row>
    <row r="5" ht="100" customHeight="1" spans="1:10">
      <c r="A5" s="3" t="str">
        <f>_xlfn.DISPIMG("ID_3953E4ACA7CF4BD6828AC999929F16CE",1)</f>
        <v>=DISPIMG("ID_3953E4ACA7CF4BD6828AC999929F16CE",1)</v>
      </c>
      <c r="B5" s="12" t="s">
        <v>10</v>
      </c>
      <c r="C5" s="12" t="s">
        <v>13</v>
      </c>
      <c r="D5" s="3">
        <v>2024</v>
      </c>
      <c r="E5" s="3">
        <v>5</v>
      </c>
      <c r="F5" s="13" t="s">
        <v>12</v>
      </c>
      <c r="G5" s="13">
        <v>1280</v>
      </c>
      <c r="H5" s="13">
        <v>5597</v>
      </c>
      <c r="I5" s="13">
        <v>5841</v>
      </c>
      <c r="J5" s="3">
        <v>55.99</v>
      </c>
    </row>
    <row r="6" ht="100" customHeight="1" spans="1:10">
      <c r="A6" s="3" t="str">
        <f>_xlfn.DISPIMG("ID_C850960750D442118413493C0113A27A",1)</f>
        <v>=DISPIMG("ID_C850960750D442118413493C0113A27A",1)</v>
      </c>
      <c r="B6" s="12" t="s">
        <v>10</v>
      </c>
      <c r="C6" s="12">
        <v>126301</v>
      </c>
      <c r="D6" s="3">
        <v>2024</v>
      </c>
      <c r="E6" s="3">
        <v>6</v>
      </c>
      <c r="F6" s="13" t="s">
        <v>12</v>
      </c>
      <c r="G6" s="13">
        <v>402</v>
      </c>
      <c r="H6" s="13">
        <v>335</v>
      </c>
      <c r="I6" s="13">
        <v>3130</v>
      </c>
      <c r="J6" s="3">
        <v>56.99</v>
      </c>
    </row>
    <row r="7" ht="100" customHeight="1" spans="1:10">
      <c r="A7" s="3" t="str">
        <f>_xlfn.DISPIMG("ID_1BE52D85CCEB4DEA931166DC422D3F71",1)</f>
        <v>=DISPIMG("ID_1BE52D85CCEB4DEA931166DC422D3F71",1)</v>
      </c>
      <c r="B7" s="12" t="s">
        <v>10</v>
      </c>
      <c r="C7" s="12" t="s">
        <v>14</v>
      </c>
      <c r="D7" s="3">
        <v>2025</v>
      </c>
      <c r="E7" s="3">
        <v>2</v>
      </c>
      <c r="F7" s="13" t="s">
        <v>12</v>
      </c>
      <c r="G7" s="13" t="s">
        <v>12</v>
      </c>
      <c r="H7" s="13">
        <v>2516</v>
      </c>
      <c r="I7" s="13">
        <v>3871</v>
      </c>
      <c r="J7" s="3">
        <v>29.99</v>
      </c>
    </row>
    <row r="8" ht="100" customHeight="1" spans="1:10">
      <c r="A8" s="3" t="str">
        <f>_xlfn.DISPIMG("ID_CD8FBE72FA724C45B498EA68F761C9BD",1)</f>
        <v>=DISPIMG("ID_CD8FBE72FA724C45B498EA68F761C9BD",1)</v>
      </c>
      <c r="B8" s="12" t="s">
        <v>10</v>
      </c>
      <c r="C8" s="12">
        <v>155501</v>
      </c>
      <c r="D8" s="3">
        <v>2025</v>
      </c>
      <c r="E8" s="3">
        <v>3</v>
      </c>
      <c r="F8" s="13" t="s">
        <v>12</v>
      </c>
      <c r="G8" s="13" t="s">
        <v>12</v>
      </c>
      <c r="H8" s="13">
        <v>2111</v>
      </c>
      <c r="I8" s="13">
        <v>1064</v>
      </c>
      <c r="J8" s="3">
        <v>53.99</v>
      </c>
    </row>
    <row r="9" ht="100" customHeight="1" spans="1:10">
      <c r="A9" s="3" t="str">
        <f>_xlfn.DISPIMG("ID_BF7C7AC3C1A3436B95CB807FA9ACFC85",1)</f>
        <v>=DISPIMG("ID_BF7C7AC3C1A3436B95CB807FA9ACFC85",1)</v>
      </c>
      <c r="B9" s="12" t="s">
        <v>10</v>
      </c>
      <c r="C9" s="12">
        <v>160301</v>
      </c>
      <c r="D9" s="3">
        <v>2025</v>
      </c>
      <c r="E9" s="3">
        <v>9</v>
      </c>
      <c r="F9" s="13" t="s">
        <v>12</v>
      </c>
      <c r="G9" s="13" t="s">
        <v>12</v>
      </c>
      <c r="H9" s="13">
        <v>942</v>
      </c>
      <c r="I9" s="13">
        <v>1406</v>
      </c>
      <c r="J9" s="3">
        <v>42.99</v>
      </c>
    </row>
    <row r="10" ht="100" customHeight="1" spans="1:10">
      <c r="A10" s="3" t="str">
        <f>_xlfn.DISPIMG("ID_75385C290B5645F7B1E24EC10E81F8F5",1)</f>
        <v>=DISPIMG("ID_75385C290B5645F7B1E24EC10E81F8F5",1)</v>
      </c>
      <c r="B10" s="12" t="s">
        <v>10</v>
      </c>
      <c r="C10" s="12">
        <v>161401</v>
      </c>
      <c r="D10" s="3">
        <v>2025</v>
      </c>
      <c r="E10" s="3">
        <v>7</v>
      </c>
      <c r="F10" s="13" t="s">
        <v>12</v>
      </c>
      <c r="G10" s="13" t="s">
        <v>12</v>
      </c>
      <c r="H10" s="13">
        <v>231</v>
      </c>
      <c r="I10" s="13">
        <v>1092</v>
      </c>
      <c r="J10" s="3">
        <v>26.99</v>
      </c>
    </row>
    <row r="11" ht="100" customHeight="1" spans="1:10">
      <c r="A11" s="3" t="str">
        <f>_xlfn.DISPIMG("ID_2EA2046350654415BA6F23D72E1A0738",1)</f>
        <v>=DISPIMG("ID_2EA2046350654415BA6F23D72E1A0738",1)</v>
      </c>
      <c r="B11" s="12" t="s">
        <v>10</v>
      </c>
      <c r="C11" s="12" t="s">
        <v>15</v>
      </c>
      <c r="D11" s="3">
        <v>2026</v>
      </c>
      <c r="E11" s="3">
        <v>7</v>
      </c>
      <c r="F11" s="13" t="s">
        <v>12</v>
      </c>
      <c r="G11" s="13" t="s">
        <v>12</v>
      </c>
      <c r="H11" s="13">
        <v>2</v>
      </c>
      <c r="I11" s="13">
        <v>448</v>
      </c>
      <c r="J11" s="3">
        <v>49.99</v>
      </c>
    </row>
    <row r="12" ht="100" customHeight="1" spans="1:10">
      <c r="A12" s="3" t="str">
        <f>_xlfn.DISPIMG("ID_3AD10816C7E145E8A97B125D8897C2F0",1)</f>
        <v>=DISPIMG("ID_3AD10816C7E145E8A97B125D8897C2F0",1)</v>
      </c>
      <c r="B12" s="12" t="s">
        <v>10</v>
      </c>
      <c r="C12" s="12">
        <v>162201</v>
      </c>
      <c r="D12" s="3">
        <v>2026</v>
      </c>
      <c r="E12" s="3">
        <v>3</v>
      </c>
      <c r="F12" s="13" t="s">
        <v>12</v>
      </c>
      <c r="G12" s="13" t="s">
        <v>12</v>
      </c>
      <c r="H12" s="13" t="s">
        <v>12</v>
      </c>
      <c r="I12" s="13">
        <v>455</v>
      </c>
      <c r="J12" s="3">
        <v>25.99</v>
      </c>
    </row>
    <row r="13" ht="100" customHeight="1" spans="1:10">
      <c r="A13" s="3" t="str">
        <f>_xlfn.DISPIMG("ID_D6105F87FB9243E4BD49195C270BF006",1)</f>
        <v>=DISPIMG("ID_D6105F87FB9243E4BD49195C270BF006",1)</v>
      </c>
      <c r="B13" s="12" t="s">
        <v>10</v>
      </c>
      <c r="C13" s="12" t="s">
        <v>16</v>
      </c>
      <c r="D13" s="3">
        <v>2026</v>
      </c>
      <c r="E13" s="3">
        <v>3</v>
      </c>
      <c r="F13" s="13" t="s">
        <v>12</v>
      </c>
      <c r="G13" s="13" t="s">
        <v>12</v>
      </c>
      <c r="H13" s="13" t="s">
        <v>12</v>
      </c>
      <c r="I13" s="13">
        <v>476</v>
      </c>
      <c r="J13" s="3">
        <v>32.99</v>
      </c>
    </row>
    <row r="14" ht="100" customHeight="1" spans="1:10">
      <c r="A14" s="3" t="str">
        <f>_xlfn.DISPIMG("ID_E309B652756449CDA55ABE5A798F2B08",1)</f>
        <v>=DISPIMG("ID_E309B652756449CDA55ABE5A798F2B08",1)</v>
      </c>
      <c r="B14" s="12" t="s">
        <v>10</v>
      </c>
      <c r="C14" s="12" t="s">
        <v>17</v>
      </c>
      <c r="D14" s="3">
        <v>2026</v>
      </c>
      <c r="E14" s="3">
        <v>3</v>
      </c>
      <c r="F14" s="13" t="s">
        <v>12</v>
      </c>
      <c r="G14" s="13" t="s">
        <v>12</v>
      </c>
      <c r="H14" s="13" t="s">
        <v>12</v>
      </c>
      <c r="I14" s="13">
        <v>330</v>
      </c>
      <c r="J14" s="3">
        <v>30.99</v>
      </c>
    </row>
    <row r="15" ht="100" customHeight="1" spans="1:10">
      <c r="A15" s="3" t="str">
        <f>_xlfn.DISPIMG("ID_5FB9CEE11EB3467D901154F98448CA62",1)</f>
        <v>=DISPIMG("ID_5FB9CEE11EB3467D901154F98448CA62",1)</v>
      </c>
      <c r="B15" s="12" t="s">
        <v>10</v>
      </c>
      <c r="C15" s="12">
        <v>700201</v>
      </c>
      <c r="D15" s="3">
        <v>2026</v>
      </c>
      <c r="E15" s="3">
        <v>3</v>
      </c>
      <c r="F15" s="13" t="s">
        <v>12</v>
      </c>
      <c r="G15" s="13" t="s">
        <v>12</v>
      </c>
      <c r="H15" s="13" t="s">
        <v>12</v>
      </c>
      <c r="I15" s="13">
        <v>219</v>
      </c>
      <c r="J15" s="3">
        <v>59.99</v>
      </c>
    </row>
    <row r="16" ht="100" customHeight="1" spans="1:10">
      <c r="A16" s="3" t="str">
        <f>_xlfn.DISPIMG("ID_975C6D3F28344B3F90D8426C0B71F6CB",1)</f>
        <v>=DISPIMG("ID_975C6D3F28344B3F90D8426C0B71F6CB",1)</v>
      </c>
      <c r="B16" s="12" t="s">
        <v>10</v>
      </c>
      <c r="C16" s="12">
        <v>210806</v>
      </c>
      <c r="D16" s="3">
        <v>2026</v>
      </c>
      <c r="E16" s="3">
        <v>5</v>
      </c>
      <c r="F16" s="13" t="s">
        <v>12</v>
      </c>
      <c r="G16" s="13" t="s">
        <v>12</v>
      </c>
      <c r="H16" s="13" t="s">
        <v>12</v>
      </c>
      <c r="I16" s="13">
        <v>77</v>
      </c>
      <c r="J16" s="3">
        <v>29.99</v>
      </c>
    </row>
    <row r="17" ht="100" customHeight="1" spans="1:10">
      <c r="A17" s="3" t="str">
        <f>_xlfn.DISPIMG("ID_561DDED64ACE46DF8312DC807BF9CC6B",1)</f>
        <v>=DISPIMG("ID_561DDED64ACE46DF8312DC807BF9CC6B",1)</v>
      </c>
      <c r="B17" s="12" t="s">
        <v>10</v>
      </c>
      <c r="C17" s="12" t="s">
        <v>18</v>
      </c>
      <c r="D17" s="3">
        <v>2026</v>
      </c>
      <c r="E17" s="3">
        <v>4</v>
      </c>
      <c r="F17" s="13" t="s">
        <v>12</v>
      </c>
      <c r="G17" s="13" t="s">
        <v>12</v>
      </c>
      <c r="H17" s="13" t="s">
        <v>12</v>
      </c>
      <c r="I17" s="13">
        <v>66</v>
      </c>
      <c r="J17" s="3">
        <v>32.99</v>
      </c>
    </row>
    <row r="18" ht="100" customHeight="1"/>
    <row r="19" ht="100" customHeight="1"/>
    <row r="20" ht="100" customHeight="1"/>
    <row r="21" ht="100" customHeight="1"/>
    <row r="22" ht="100" customHeight="1"/>
    <row r="23" ht="100" customHeight="1"/>
    <row r="24" ht="100" customHeight="1"/>
    <row r="25" ht="100" customHeight="1"/>
    <row r="26" ht="100" customHeight="1"/>
    <row r="27" ht="100" customHeight="1"/>
    <row r="28" ht="100" customHeight="1"/>
    <row r="29" ht="100" customHeight="1"/>
    <row r="30" ht="100" customHeight="1"/>
    <row r="31" ht="100" customHeight="1"/>
    <row r="32" ht="100" customHeight="1"/>
    <row r="33" ht="100" customHeight="1"/>
    <row r="34" ht="100" customHeight="1"/>
    <row r="35" ht="100" customHeight="1"/>
    <row r="36" ht="100" customHeight="1"/>
    <row r="37" ht="100" customHeight="1"/>
    <row r="38" ht="100" customHeight="1"/>
    <row r="39" ht="100" customHeight="1"/>
    <row r="40" ht="100" customHeight="1"/>
    <row r="41" ht="100" customHeight="1"/>
    <row r="42" ht="100" customHeight="1"/>
    <row r="43" ht="100" customHeight="1"/>
    <row r="44" ht="100" customHeight="1"/>
    <row r="45" ht="100" customHeight="1"/>
    <row r="46" ht="100" customHeight="1"/>
    <row r="47" ht="100" customHeight="1"/>
    <row r="48" ht="100" customHeight="1"/>
  </sheetData>
  <autoFilter ref="A2:H17">
    <sortState ref="A3:H17">
      <sortCondition ref="D2"/>
    </sortState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晒架-23-26产品复盘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赖华林</dc:creator>
  <cp:lastModifiedBy>陈健</cp:lastModifiedBy>
  <dcterms:created xsi:type="dcterms:W3CDTF">2023-05-12T11:15:00Z</dcterms:created>
  <dcterms:modified xsi:type="dcterms:W3CDTF">2026-07-21T02:13:49Z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CalculationRule">
    <vt:i4>0</vt:i4>
  </property>
  <property fmtid="{D5CDD505-2E9C-101B-9397-08002B2CF9AE}" pid="4" name="ICV">
    <vt:lpwstr>ECEA7C193E7A41109CB4FFA93DA2D9F2_12</vt:lpwstr>
  </property>
</Properties>
</file>